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E464175-0086-4536-B3E6-CCFF0E5D7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F36" i="1"/>
  <c r="H35" i="1"/>
  <c r="I35" i="1" s="1"/>
  <c r="H34" i="1"/>
  <c r="I34" i="1" s="1"/>
  <c r="I36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K29" i="1" l="1"/>
  <c r="H36" i="1"/>
  <c r="K30" i="1" l="1"/>
  <c r="K31" i="1" s="1"/>
  <c r="M29" i="1" s="1"/>
</calcChain>
</file>

<file path=xl/sharedStrings.xml><?xml version="1.0" encoding="utf-8"?>
<sst xmlns="http://schemas.openxmlformats.org/spreadsheetml/2006/main" count="134" uniqueCount="78">
  <si>
    <t>COMPARATIVE STATEMENT</t>
  </si>
  <si>
    <t>Ser</t>
  </si>
  <si>
    <t>Part No</t>
  </si>
  <si>
    <t>Description</t>
  </si>
  <si>
    <t>A/U</t>
  </si>
  <si>
    <t>Qty</t>
  </si>
  <si>
    <t>Rate Quoted by  Firms Excl 18% GST</t>
  </si>
  <si>
    <t xml:space="preserve">Lowest </t>
  </si>
  <si>
    <t>LPR
(Rs)</t>
  </si>
  <si>
    <t>Inc/Dec %</t>
  </si>
  <si>
    <t>M/s Awan Tech</t>
  </si>
  <si>
    <t>M/s SNS Enterprises</t>
  </si>
  <si>
    <t>M/s Libra Enterprises</t>
  </si>
  <si>
    <t>Firm</t>
  </si>
  <si>
    <t xml:space="preserve">Rate 
Rs. </t>
  </si>
  <si>
    <t>Total Value</t>
  </si>
  <si>
    <t>A-2252</t>
  </si>
  <si>
    <t>Powder green silicon w-20</t>
  </si>
  <si>
    <t>Kg</t>
  </si>
  <si>
    <t>NQ</t>
  </si>
  <si>
    <t>-</t>
  </si>
  <si>
    <t>A-2394</t>
  </si>
  <si>
    <t>Brush Brass Wire 6 Row</t>
  </si>
  <si>
    <t>Nos</t>
  </si>
  <si>
    <t>M/s SNS</t>
  </si>
  <si>
    <t>A-2381</t>
  </si>
  <si>
    <t>Brush flat painting  ½ inch D/R</t>
  </si>
  <si>
    <t>M/s Awan</t>
  </si>
  <si>
    <t>A-2382</t>
  </si>
  <si>
    <t>Brush flat painting  1 inch D/R</t>
  </si>
  <si>
    <t>A-2417</t>
  </si>
  <si>
    <t>Writing Brush No. 10</t>
  </si>
  <si>
    <t>A-2393</t>
  </si>
  <si>
    <t>Brush Brass wire 5 row</t>
  </si>
  <si>
    <t>M/s SNs</t>
  </si>
  <si>
    <t>A-2392</t>
  </si>
  <si>
    <t>Brush Brass Wire 4 Row</t>
  </si>
  <si>
    <t>GS-1629</t>
  </si>
  <si>
    <t>Painting Mask with 2 Cartridges</t>
  </si>
  <si>
    <t>A-2390</t>
  </si>
  <si>
    <t>Brush Steel Wire 255x40mm 4xrow</t>
  </si>
  <si>
    <t>A-2391</t>
  </si>
  <si>
    <t>Brush Steel Wire 255x40mm 5xrow</t>
  </si>
  <si>
    <t>A-2388</t>
  </si>
  <si>
    <t>Brush Flat Painting D/Row</t>
  </si>
  <si>
    <t>A-2386</t>
  </si>
  <si>
    <t>A-2398</t>
  </si>
  <si>
    <t>Brush Watch Maker Bristle</t>
  </si>
  <si>
    <t>A-0713</t>
  </si>
  <si>
    <t>Paint Aluminum Color</t>
  </si>
  <si>
    <t>Lit</t>
  </si>
  <si>
    <t>NIV</t>
  </si>
  <si>
    <t>Steel Wire Brush 1 1/2" x 10"</t>
  </si>
  <si>
    <t>Brass Round Brush 4" (Grinder)</t>
  </si>
  <si>
    <t>Steel Wire Brush 1 1/2" x 6"</t>
  </si>
  <si>
    <t>A-2399</t>
  </si>
  <si>
    <t>Brush Tube Cleaning Length 3/8’’</t>
  </si>
  <si>
    <t>A-2396</t>
  </si>
  <si>
    <t>Brush Round Small M25 (Ø 25mm)</t>
  </si>
  <si>
    <t>A-2412</t>
  </si>
  <si>
    <t xml:space="preserve">Brush Painting 4 </t>
  </si>
  <si>
    <t>GS-1031</t>
  </si>
  <si>
    <t>Apexior Compound Paint No-3</t>
  </si>
  <si>
    <t>Ltr</t>
  </si>
  <si>
    <t>A-2384</t>
  </si>
  <si>
    <t>A-2405</t>
  </si>
  <si>
    <t>Brush Floor Cleaning With Handle 18"x4"</t>
  </si>
  <si>
    <t>Total Amount Excl 18% GST (Rs)</t>
  </si>
  <si>
    <t>18% GST (Rs)</t>
  </si>
  <si>
    <t>Total Amount Incl 18% GST (Rs)</t>
  </si>
  <si>
    <t>SUMMARY</t>
  </si>
  <si>
    <t>Items</t>
  </si>
  <si>
    <t>Store Value</t>
  </si>
  <si>
    <t>GST 18%</t>
  </si>
  <si>
    <t>Contr Value</t>
  </si>
  <si>
    <t>G.Total</t>
  </si>
  <si>
    <t>COUNTERSIGNED</t>
  </si>
  <si>
    <t>Tender Inquiry No.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</si>
</sst>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0_);_(* \(#,##0.00\);_(* &quot;-&quot;?_);_(@_)"/>
    <numFmt numFmtId="168" formatCode="_-* #,##0.00_-;\-* #,##0.0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166" fontId="5" fillId="0" borderId="1" xfId="0" applyNumberFormat="1" applyFont="1" applyBorder="1" applyAlignment="1">
      <alignment horizontal="left" vertical="center" wrapText="1" readingOrder="1"/>
    </xf>
    <xf numFmtId="167" fontId="3" fillId="0" borderId="6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/>
    <xf numFmtId="166" fontId="5" fillId="0" borderId="1" xfId="0" applyNumberFormat="1" applyFont="1" applyBorder="1"/>
    <xf numFmtId="16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 readingOrder="1"/>
    </xf>
    <xf numFmtId="166" fontId="5" fillId="0" borderId="1" xfId="0" applyNumberFormat="1" applyFont="1" applyBorder="1" applyAlignment="1">
      <alignment vertical="center"/>
    </xf>
    <xf numFmtId="43" fontId="3" fillId="0" borderId="1" xfId="0" applyNumberFormat="1" applyFont="1" applyBorder="1" applyAlignment="1">
      <alignment horizontal="left" vertical="center" wrapText="1" readingOrder="1"/>
    </xf>
    <xf numFmtId="43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43" fontId="3" fillId="0" borderId="0" xfId="1" applyNumberFormat="1" applyFont="1" applyBorder="1" applyAlignment="1">
      <alignment horizontal="center" vertical="center"/>
    </xf>
    <xf numFmtId="43" fontId="3" fillId="0" borderId="0" xfId="1" applyNumberFormat="1" applyFont="1" applyBorder="1" applyAlignment="1">
      <alignment vertical="center" wrapText="1"/>
    </xf>
    <xf numFmtId="43" fontId="3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5" fontId="9" fillId="0" borderId="1" xfId="1" applyFont="1" applyBorder="1" applyAlignment="1">
      <alignment horizontal="center" vertical="center"/>
    </xf>
    <xf numFmtId="165" fontId="9" fillId="0" borderId="1" xfId="1" applyFont="1" applyBorder="1" applyAlignment="1">
      <alignment horizontal="left" vertical="center"/>
    </xf>
    <xf numFmtId="166" fontId="10" fillId="0" borderId="0" xfId="0" applyNumberFormat="1" applyFont="1"/>
    <xf numFmtId="0" fontId="10" fillId="0" borderId="0" xfId="0" applyFont="1"/>
    <xf numFmtId="165" fontId="9" fillId="0" borderId="0" xfId="1" applyFont="1" applyBorder="1" applyAlignment="1">
      <alignment horizontal="center" vertical="center"/>
    </xf>
    <xf numFmtId="2" fontId="11" fillId="0" borderId="0" xfId="3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" xfId="1" applyNumberFormat="1" applyFont="1" applyBorder="1" applyAlignment="1">
      <alignment horizontal="center" vertical="center"/>
    </xf>
    <xf numFmtId="165" fontId="11" fillId="0" borderId="1" xfId="1" applyFont="1" applyBorder="1" applyAlignment="1">
      <alignment horizontal="center" vertical="center"/>
    </xf>
    <xf numFmtId="165" fontId="11" fillId="0" borderId="1" xfId="1" applyFont="1" applyBorder="1" applyAlignment="1">
      <alignment horizontal="right" vertical="center" wrapText="1"/>
    </xf>
    <xf numFmtId="166" fontId="9" fillId="0" borderId="0" xfId="1" applyNumberFormat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168" fontId="9" fillId="0" borderId="1" xfId="2" applyNumberFormat="1" applyFont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5" fontId="5" fillId="0" borderId="0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/>
    </xf>
    <xf numFmtId="165" fontId="3" fillId="0" borderId="0" xfId="1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165" fontId="9" fillId="0" borderId="0" xfId="1" applyFont="1" applyBorder="1" applyAlignment="1">
      <alignment horizontal="right" vertical="center" wrapText="1"/>
    </xf>
    <xf numFmtId="166" fontId="9" fillId="2" borderId="0" xfId="1" applyNumberFormat="1" applyFont="1" applyFill="1" applyBorder="1" applyAlignment="1">
      <alignment horizontal="center" vertical="center"/>
    </xf>
    <xf numFmtId="165" fontId="9" fillId="2" borderId="0" xfId="1" applyFont="1" applyFill="1" applyBorder="1" applyAlignment="1">
      <alignment horizontal="center" vertical="center"/>
    </xf>
    <xf numFmtId="166" fontId="8" fillId="2" borderId="0" xfId="1" applyNumberFormat="1" applyFont="1" applyFill="1" applyBorder="1" applyAlignment="1">
      <alignment horizontal="left" vertical="center"/>
    </xf>
    <xf numFmtId="165" fontId="8" fillId="2" borderId="0" xfId="1" applyFont="1" applyFill="1" applyBorder="1" applyAlignment="1">
      <alignment horizontal="center" vertical="center"/>
    </xf>
    <xf numFmtId="166" fontId="11" fillId="0" borderId="0" xfId="1" applyNumberFormat="1" applyFont="1" applyBorder="1" applyAlignment="1">
      <alignment horizontal="center" vertical="center"/>
    </xf>
    <xf numFmtId="165" fontId="11" fillId="0" borderId="0" xfId="1" applyFont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left" vertical="top"/>
    </xf>
    <xf numFmtId="43" fontId="10" fillId="2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/>
    </xf>
    <xf numFmtId="43" fontId="3" fillId="0" borderId="2" xfId="1" applyNumberFormat="1" applyFont="1" applyBorder="1" applyAlignment="1">
      <alignment horizontal="center" vertical="center" wrapText="1"/>
    </xf>
    <xf numFmtId="43" fontId="3" fillId="0" borderId="5" xfId="1" applyNumberFormat="1" applyFont="1" applyBorder="1" applyAlignment="1">
      <alignment horizontal="center" vertical="center" wrapText="1"/>
    </xf>
    <xf numFmtId="43" fontId="3" fillId="0" borderId="6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38098</xdr:colOff>
      <xdr:row>32</xdr:row>
      <xdr:rowOff>22409</xdr:rowOff>
    </xdr:from>
    <xdr:to>
      <xdr:col>2</xdr:col>
      <xdr:colOff>1495424</xdr:colOff>
      <xdr:row>34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3E34745-EBD9-4C2B-A9F4-C25A7513E156}"/>
            </a:ext>
          </a:extLst>
        </xdr:cNvPr>
        <xdr:cNvSpPr txBox="1"/>
      </xdr:nvSpPr>
      <xdr:spPr>
        <a:xfrm>
          <a:off x="38098" y="5985059"/>
          <a:ext cx="2266951" cy="510991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 rtl="0"/>
          <a:r>
            <a:rPr lang="en-US" sz="1400" b="1" i="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____________________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Prep By</a:t>
          </a:r>
          <a:r>
            <a:rPr lang="en-US" sz="120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Lnk/Clk Zaheer</a:t>
          </a:r>
          <a:endParaRPr lang="en-US" sz="1400">
            <a:solidFill>
              <a:sysClr val="windowText" lastClr="00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152399</xdr:colOff>
      <xdr:row>32</xdr:row>
      <xdr:rowOff>150157</xdr:rowOff>
    </xdr:from>
    <xdr:to>
      <xdr:col>12</xdr:col>
      <xdr:colOff>460518</xdr:colOff>
      <xdr:row>35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60C66B0-DE90-4C73-882E-AB34FE21915A}"/>
            </a:ext>
          </a:extLst>
        </xdr:cNvPr>
        <xdr:cNvSpPr txBox="1"/>
      </xdr:nvSpPr>
      <xdr:spPr>
        <a:xfrm>
          <a:off x="8486774" y="6112807"/>
          <a:ext cx="2879869" cy="449918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 rtl="0"/>
          <a:r>
            <a:rPr lang="en-US" sz="1400" b="1" i="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___________________________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Checked</a:t>
          </a:r>
          <a:r>
            <a:rPr lang="en-US" sz="120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by N/Sub/Clk  Abbas</a:t>
          </a:r>
          <a:endParaRPr lang="en-US" sz="1400">
            <a:solidFill>
              <a:sysClr val="windowText" lastClr="00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228600</xdr:colOff>
      <xdr:row>38</xdr:row>
      <xdr:rowOff>95251</xdr:rowOff>
    </xdr:from>
    <xdr:to>
      <xdr:col>7</xdr:col>
      <xdr:colOff>409575</xdr:colOff>
      <xdr:row>40</xdr:row>
      <xdr:rowOff>38101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2111304-F866-413C-A70F-8E41A5CE9E57}"/>
            </a:ext>
          </a:extLst>
        </xdr:cNvPr>
        <xdr:cNvSpPr txBox="1"/>
      </xdr:nvSpPr>
      <xdr:spPr>
        <a:xfrm>
          <a:off x="4648200" y="7258051"/>
          <a:ext cx="2047875" cy="342900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 rtl="0"/>
          <a:r>
            <a:rPr lang="en-US" sz="1400" b="1" i="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__________________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HEAD</a:t>
          </a:r>
          <a:b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QAC (TDA) </a:t>
          </a:r>
          <a:b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(ALI)</a:t>
          </a:r>
          <a:br>
            <a:rPr lang="en-US" sz="1200" b="1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endParaRPr lang="en-US" sz="1400">
            <a:solidFill>
              <a:sysClr val="windowText" lastClr="00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142875</xdr:colOff>
      <xdr:row>46</xdr:row>
      <xdr:rowOff>114299</xdr:rowOff>
    </xdr:from>
    <xdr:to>
      <xdr:col>7</xdr:col>
      <xdr:colOff>447675</xdr:colOff>
      <xdr:row>47</xdr:row>
      <xdr:rowOff>76199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4A20AE31-9C0D-4F65-9B19-1324BCF6F1E1}"/>
            </a:ext>
          </a:extLst>
        </xdr:cNvPr>
        <xdr:cNvSpPr txBox="1"/>
      </xdr:nvSpPr>
      <xdr:spPr>
        <a:xfrm>
          <a:off x="4191000" y="9001124"/>
          <a:ext cx="2543175" cy="161925"/>
        </a:xfrm>
        <a:prstGeom prst="rect">
          <a:avLst/>
        </a:prstGeom>
        <a:solidFill>
          <a:schemeClr val="lt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 rtl="0"/>
          <a:r>
            <a:rPr lang="en-US" sz="1400" b="1" i="0" baseline="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_____________________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FMSAD (XDS</a:t>
          </a:r>
        </a:p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(washal) </a:t>
          </a:r>
          <a:endParaRPr lang="en-US" sz="1400">
            <a:solidFill>
              <a:sysClr val="windowText" lastClr="00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view="pageBreakPreview" topLeftCell="A30" zoomScaleNormal="100" zoomScaleSheetLayoutView="100" workbookViewId="0">
      <selection activeCell="J53" sqref="J53"/>
    </sheetView>
  </sheetViews>
  <sheetFormatPr defaultRowHeight="14.4" x14ac:dyDescent="0.3"/>
  <cols>
    <col min="1" max="1" width="4.109375" bestFit="1" customWidth="1"/>
    <col min="2" max="2" width="8.33203125" bestFit="1" customWidth="1"/>
    <col min="3" max="3" width="32.44140625" customWidth="1"/>
    <col min="4" max="4" width="4.6640625" bestFit="1" customWidth="1"/>
    <col min="5" max="5" width="4.44140625" bestFit="1" customWidth="1"/>
    <col min="6" max="6" width="15.44140625" bestFit="1" customWidth="1"/>
    <col min="7" max="7" width="19.88671875" bestFit="1" customWidth="1"/>
    <col min="8" max="8" width="20.6640625" bestFit="1" customWidth="1"/>
    <col min="9" max="9" width="15.6640625" bestFit="1" customWidth="1"/>
    <col min="10" max="10" width="7.6640625" bestFit="1" customWidth="1"/>
    <col min="11" max="11" width="11.44140625" bestFit="1" customWidth="1"/>
    <col min="12" max="12" width="11.33203125" bestFit="1" customWidth="1"/>
    <col min="13" max="13" width="9.6640625" bestFit="1" customWidth="1"/>
  </cols>
  <sheetData>
    <row r="1" spans="1:13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x14ac:dyDescent="0.3">
      <c r="A2" s="62" t="s">
        <v>77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x14ac:dyDescent="0.3">
      <c r="A3" s="63" t="s">
        <v>1</v>
      </c>
      <c r="B3" s="64" t="s">
        <v>2</v>
      </c>
      <c r="C3" s="63" t="s">
        <v>3</v>
      </c>
      <c r="D3" s="63" t="s">
        <v>4</v>
      </c>
      <c r="E3" s="63" t="s">
        <v>5</v>
      </c>
      <c r="F3" s="67" t="s">
        <v>6</v>
      </c>
      <c r="G3" s="68"/>
      <c r="H3" s="68"/>
      <c r="I3" s="69" t="s">
        <v>7</v>
      </c>
      <c r="J3" s="69"/>
      <c r="K3" s="2"/>
      <c r="L3" s="69" t="s">
        <v>8</v>
      </c>
      <c r="M3" s="63" t="s">
        <v>9</v>
      </c>
    </row>
    <row r="4" spans="1:13" x14ac:dyDescent="0.3">
      <c r="A4" s="63"/>
      <c r="B4" s="65"/>
      <c r="C4" s="63"/>
      <c r="D4" s="63"/>
      <c r="E4" s="63"/>
      <c r="F4" s="70" t="s">
        <v>10</v>
      </c>
      <c r="G4" s="70" t="s">
        <v>11</v>
      </c>
      <c r="H4" s="71" t="s">
        <v>12</v>
      </c>
      <c r="I4" s="63" t="s">
        <v>13</v>
      </c>
      <c r="J4" s="72" t="s">
        <v>14</v>
      </c>
      <c r="K4" s="74" t="s">
        <v>15</v>
      </c>
      <c r="L4" s="69"/>
      <c r="M4" s="63"/>
    </row>
    <row r="5" spans="1:13" x14ac:dyDescent="0.3">
      <c r="A5" s="64"/>
      <c r="B5" s="66"/>
      <c r="C5" s="64"/>
      <c r="D5" s="64"/>
      <c r="E5" s="64"/>
      <c r="F5" s="70"/>
      <c r="G5" s="70"/>
      <c r="H5" s="71"/>
      <c r="I5" s="63"/>
      <c r="J5" s="73"/>
      <c r="K5" s="75"/>
      <c r="L5" s="69"/>
      <c r="M5" s="63"/>
    </row>
    <row r="6" spans="1:13" x14ac:dyDescent="0.3">
      <c r="A6" s="6">
        <v>1</v>
      </c>
      <c r="B6" s="7" t="s">
        <v>16</v>
      </c>
      <c r="C6" s="8" t="s">
        <v>17</v>
      </c>
      <c r="D6" s="9" t="s">
        <v>18</v>
      </c>
      <c r="E6" s="9">
        <v>4</v>
      </c>
      <c r="F6" s="10" t="s">
        <v>19</v>
      </c>
      <c r="G6" s="11" t="s">
        <v>19</v>
      </c>
      <c r="H6" s="11" t="s">
        <v>19</v>
      </c>
      <c r="I6" s="12" t="s">
        <v>19</v>
      </c>
      <c r="J6" s="13">
        <f>SUBTOTAL(5,(F6:H6))</f>
        <v>0</v>
      </c>
      <c r="K6" s="14">
        <f>J6*E6</f>
        <v>0</v>
      </c>
      <c r="L6" s="4" t="s">
        <v>20</v>
      </c>
      <c r="M6" s="1" t="s">
        <v>20</v>
      </c>
    </row>
    <row r="7" spans="1:13" x14ac:dyDescent="0.3">
      <c r="A7" s="6">
        <v>2</v>
      </c>
      <c r="B7" s="7" t="s">
        <v>21</v>
      </c>
      <c r="C7" s="8" t="s">
        <v>22</v>
      </c>
      <c r="D7" s="9" t="s">
        <v>23</v>
      </c>
      <c r="E7" s="9">
        <v>35</v>
      </c>
      <c r="F7" s="10">
        <v>850</v>
      </c>
      <c r="G7" s="3">
        <v>350</v>
      </c>
      <c r="H7" s="11">
        <v>900</v>
      </c>
      <c r="I7" s="12" t="s">
        <v>24</v>
      </c>
      <c r="J7" s="13">
        <f t="shared" ref="J7:J28" si="0">SUBTOTAL(5,(F7:H7))</f>
        <v>350</v>
      </c>
      <c r="K7" s="14">
        <f t="shared" ref="K7:K28" si="1">J7*E7</f>
        <v>12250</v>
      </c>
      <c r="L7" s="4"/>
      <c r="M7" s="1"/>
    </row>
    <row r="8" spans="1:13" x14ac:dyDescent="0.3">
      <c r="A8" s="6">
        <v>3</v>
      </c>
      <c r="B8" s="7" t="s">
        <v>25</v>
      </c>
      <c r="C8" s="8" t="s">
        <v>26</v>
      </c>
      <c r="D8" s="9" t="s">
        <v>23</v>
      </c>
      <c r="E8" s="9">
        <v>5</v>
      </c>
      <c r="F8" s="15">
        <v>150</v>
      </c>
      <c r="G8" s="11">
        <v>350</v>
      </c>
      <c r="H8" s="11">
        <v>455</v>
      </c>
      <c r="I8" s="76" t="s">
        <v>27</v>
      </c>
      <c r="J8" s="13">
        <f t="shared" si="0"/>
        <v>150</v>
      </c>
      <c r="K8" s="14">
        <f t="shared" si="1"/>
        <v>750</v>
      </c>
      <c r="L8" s="4"/>
      <c r="M8" s="1"/>
    </row>
    <row r="9" spans="1:13" x14ac:dyDescent="0.3">
      <c r="A9" s="6">
        <v>4</v>
      </c>
      <c r="B9" s="7" t="s">
        <v>28</v>
      </c>
      <c r="C9" s="8" t="s">
        <v>29</v>
      </c>
      <c r="D9" s="9" t="s">
        <v>23</v>
      </c>
      <c r="E9" s="9">
        <v>9</v>
      </c>
      <c r="F9" s="16">
        <v>160</v>
      </c>
      <c r="G9" s="11">
        <v>280</v>
      </c>
      <c r="H9" s="11">
        <v>350</v>
      </c>
      <c r="I9" s="77"/>
      <c r="J9" s="13">
        <f t="shared" si="0"/>
        <v>160</v>
      </c>
      <c r="K9" s="14">
        <f t="shared" si="1"/>
        <v>1440</v>
      </c>
      <c r="L9" s="4"/>
      <c r="M9" s="1"/>
    </row>
    <row r="10" spans="1:13" x14ac:dyDescent="0.3">
      <c r="A10" s="6">
        <v>5</v>
      </c>
      <c r="B10" s="7" t="s">
        <v>30</v>
      </c>
      <c r="C10" s="8" t="s">
        <v>31</v>
      </c>
      <c r="D10" s="9" t="s">
        <v>23</v>
      </c>
      <c r="E10" s="9">
        <v>4</v>
      </c>
      <c r="F10" s="16">
        <v>580</v>
      </c>
      <c r="G10" s="11" t="s">
        <v>19</v>
      </c>
      <c r="H10" s="11">
        <v>700</v>
      </c>
      <c r="I10" s="78"/>
      <c r="J10" s="13">
        <f t="shared" si="0"/>
        <v>580</v>
      </c>
      <c r="K10" s="14">
        <f t="shared" si="1"/>
        <v>2320</v>
      </c>
      <c r="L10" s="4"/>
      <c r="M10" s="1"/>
    </row>
    <row r="11" spans="1:13" x14ac:dyDescent="0.3">
      <c r="A11" s="6">
        <v>6</v>
      </c>
      <c r="B11" s="7" t="s">
        <v>32</v>
      </c>
      <c r="C11" s="8" t="s">
        <v>33</v>
      </c>
      <c r="D11" s="9" t="s">
        <v>23</v>
      </c>
      <c r="E11" s="9">
        <v>7</v>
      </c>
      <c r="F11" s="17">
        <v>800</v>
      </c>
      <c r="G11" s="3">
        <v>270</v>
      </c>
      <c r="H11" s="11" t="s">
        <v>19</v>
      </c>
      <c r="I11" s="76" t="s">
        <v>34</v>
      </c>
      <c r="J11" s="13">
        <f t="shared" si="0"/>
        <v>270</v>
      </c>
      <c r="K11" s="14">
        <f t="shared" si="1"/>
        <v>1890</v>
      </c>
      <c r="L11" s="4"/>
      <c r="M11" s="1"/>
    </row>
    <row r="12" spans="1:13" x14ac:dyDescent="0.3">
      <c r="A12" s="6">
        <v>7</v>
      </c>
      <c r="B12" s="7" t="s">
        <v>35</v>
      </c>
      <c r="C12" s="8" t="s">
        <v>36</v>
      </c>
      <c r="D12" s="9" t="s">
        <v>23</v>
      </c>
      <c r="E12" s="9">
        <v>35</v>
      </c>
      <c r="F12" s="17">
        <v>790</v>
      </c>
      <c r="G12" s="3">
        <v>255</v>
      </c>
      <c r="H12" s="11">
        <v>910</v>
      </c>
      <c r="I12" s="78"/>
      <c r="J12" s="13">
        <f t="shared" si="0"/>
        <v>255</v>
      </c>
      <c r="K12" s="14">
        <f t="shared" si="1"/>
        <v>8925</v>
      </c>
      <c r="L12" s="4"/>
      <c r="M12" s="1"/>
    </row>
    <row r="13" spans="1:13" x14ac:dyDescent="0.3">
      <c r="A13" s="6">
        <v>8</v>
      </c>
      <c r="B13" s="7" t="s">
        <v>37</v>
      </c>
      <c r="C13" s="8" t="s">
        <v>38</v>
      </c>
      <c r="D13" s="9" t="s">
        <v>23</v>
      </c>
      <c r="E13" s="9">
        <v>7</v>
      </c>
      <c r="F13" s="16">
        <v>14600</v>
      </c>
      <c r="G13" s="11" t="s">
        <v>19</v>
      </c>
      <c r="H13" s="11">
        <v>16000</v>
      </c>
      <c r="I13" s="76" t="s">
        <v>27</v>
      </c>
      <c r="J13" s="13">
        <f t="shared" si="0"/>
        <v>14600</v>
      </c>
      <c r="K13" s="14">
        <f t="shared" si="1"/>
        <v>102200</v>
      </c>
      <c r="L13" s="4"/>
      <c r="M13" s="1"/>
    </row>
    <row r="14" spans="1:13" x14ac:dyDescent="0.3">
      <c r="A14" s="6">
        <v>9</v>
      </c>
      <c r="B14" s="7" t="s">
        <v>39</v>
      </c>
      <c r="C14" s="8" t="s">
        <v>40</v>
      </c>
      <c r="D14" s="9" t="s">
        <v>23</v>
      </c>
      <c r="E14" s="9">
        <v>42</v>
      </c>
      <c r="F14" s="16">
        <v>244</v>
      </c>
      <c r="G14" s="11" t="s">
        <v>19</v>
      </c>
      <c r="H14" s="11">
        <v>400</v>
      </c>
      <c r="I14" s="77"/>
      <c r="J14" s="13">
        <f t="shared" si="0"/>
        <v>244</v>
      </c>
      <c r="K14" s="14">
        <f t="shared" si="1"/>
        <v>10248</v>
      </c>
      <c r="L14" s="4"/>
      <c r="M14" s="1"/>
    </row>
    <row r="15" spans="1:13" x14ac:dyDescent="0.3">
      <c r="A15" s="6">
        <v>10</v>
      </c>
      <c r="B15" s="7" t="s">
        <v>41</v>
      </c>
      <c r="C15" s="8" t="s">
        <v>42</v>
      </c>
      <c r="D15" s="9" t="s">
        <v>23</v>
      </c>
      <c r="E15" s="9">
        <v>37</v>
      </c>
      <c r="F15" s="16">
        <v>258</v>
      </c>
      <c r="G15" s="11" t="s">
        <v>19</v>
      </c>
      <c r="H15" s="11" t="s">
        <v>19</v>
      </c>
      <c r="I15" s="77"/>
      <c r="J15" s="13">
        <f t="shared" si="0"/>
        <v>258</v>
      </c>
      <c r="K15" s="14">
        <f t="shared" si="1"/>
        <v>9546</v>
      </c>
      <c r="L15" s="4"/>
      <c r="M15" s="1"/>
    </row>
    <row r="16" spans="1:13" x14ac:dyDescent="0.3">
      <c r="A16" s="6">
        <v>11</v>
      </c>
      <c r="B16" s="7" t="s">
        <v>43</v>
      </c>
      <c r="C16" s="8" t="s">
        <v>44</v>
      </c>
      <c r="D16" s="9" t="s">
        <v>23</v>
      </c>
      <c r="E16" s="9">
        <v>24</v>
      </c>
      <c r="F16" s="16">
        <v>490</v>
      </c>
      <c r="G16" s="11" t="s">
        <v>19</v>
      </c>
      <c r="H16" s="11" t="s">
        <v>19</v>
      </c>
      <c r="I16" s="77"/>
      <c r="J16" s="13">
        <f t="shared" si="0"/>
        <v>490</v>
      </c>
      <c r="K16" s="14">
        <f t="shared" si="1"/>
        <v>11760</v>
      </c>
      <c r="L16" s="4"/>
      <c r="M16" s="1"/>
    </row>
    <row r="17" spans="1:13" x14ac:dyDescent="0.3">
      <c r="A17" s="6">
        <v>12</v>
      </c>
      <c r="B17" s="7" t="s">
        <v>45</v>
      </c>
      <c r="C17" s="8" t="s">
        <v>44</v>
      </c>
      <c r="D17" s="9" t="s">
        <v>23</v>
      </c>
      <c r="E17" s="9">
        <v>34</v>
      </c>
      <c r="F17" s="16">
        <v>495</v>
      </c>
      <c r="G17" s="11" t="s">
        <v>19</v>
      </c>
      <c r="H17" s="11">
        <v>650</v>
      </c>
      <c r="I17" s="77"/>
      <c r="J17" s="13">
        <f t="shared" si="0"/>
        <v>495</v>
      </c>
      <c r="K17" s="14">
        <f t="shared" si="1"/>
        <v>16830</v>
      </c>
      <c r="L17" s="4"/>
      <c r="M17" s="1"/>
    </row>
    <row r="18" spans="1:13" x14ac:dyDescent="0.3">
      <c r="A18" s="6">
        <v>13</v>
      </c>
      <c r="B18" s="7" t="s">
        <v>46</v>
      </c>
      <c r="C18" s="8" t="s">
        <v>47</v>
      </c>
      <c r="D18" s="9" t="s">
        <v>23</v>
      </c>
      <c r="E18" s="9">
        <v>20</v>
      </c>
      <c r="F18" s="16">
        <v>430</v>
      </c>
      <c r="G18" s="11" t="s">
        <v>19</v>
      </c>
      <c r="H18" s="11">
        <v>630</v>
      </c>
      <c r="I18" s="78"/>
      <c r="J18" s="13">
        <f t="shared" si="0"/>
        <v>430</v>
      </c>
      <c r="K18" s="14">
        <f t="shared" si="1"/>
        <v>8600</v>
      </c>
      <c r="L18" s="4"/>
      <c r="M18" s="1"/>
    </row>
    <row r="19" spans="1:13" x14ac:dyDescent="0.3">
      <c r="A19" s="6">
        <v>14</v>
      </c>
      <c r="B19" s="7" t="s">
        <v>48</v>
      </c>
      <c r="C19" s="8" t="s">
        <v>49</v>
      </c>
      <c r="D19" s="9" t="s">
        <v>50</v>
      </c>
      <c r="E19" s="9">
        <v>7</v>
      </c>
      <c r="F19" s="18" t="s">
        <v>19</v>
      </c>
      <c r="G19" s="3">
        <v>2450</v>
      </c>
      <c r="H19" s="11">
        <v>3000</v>
      </c>
      <c r="I19" s="76" t="s">
        <v>24</v>
      </c>
      <c r="J19" s="13">
        <f t="shared" si="0"/>
        <v>2450</v>
      </c>
      <c r="K19" s="14">
        <f t="shared" si="1"/>
        <v>17150</v>
      </c>
      <c r="L19" s="4"/>
      <c r="M19" s="1"/>
    </row>
    <row r="20" spans="1:13" x14ac:dyDescent="0.3">
      <c r="A20" s="6">
        <v>15</v>
      </c>
      <c r="B20" s="7" t="s">
        <v>51</v>
      </c>
      <c r="C20" s="8" t="s">
        <v>52</v>
      </c>
      <c r="D20" s="9" t="s">
        <v>23</v>
      </c>
      <c r="E20" s="9">
        <v>11</v>
      </c>
      <c r="F20" s="17">
        <v>2800</v>
      </c>
      <c r="G20" s="3">
        <v>2240</v>
      </c>
      <c r="H20" s="11" t="s">
        <v>19</v>
      </c>
      <c r="I20" s="77"/>
      <c r="J20" s="13">
        <f t="shared" si="0"/>
        <v>2240</v>
      </c>
      <c r="K20" s="14">
        <f t="shared" si="1"/>
        <v>24640</v>
      </c>
      <c r="L20" s="4"/>
      <c r="M20" s="1"/>
    </row>
    <row r="21" spans="1:13" x14ac:dyDescent="0.3">
      <c r="A21" s="6">
        <v>16</v>
      </c>
      <c r="B21" s="7" t="s">
        <v>51</v>
      </c>
      <c r="C21" s="8" t="s">
        <v>53</v>
      </c>
      <c r="D21" s="9" t="s">
        <v>23</v>
      </c>
      <c r="E21" s="9">
        <v>13</v>
      </c>
      <c r="F21" s="17">
        <v>1200</v>
      </c>
      <c r="G21" s="3">
        <v>1150</v>
      </c>
      <c r="H21" s="11">
        <v>2600</v>
      </c>
      <c r="I21" s="78"/>
      <c r="J21" s="13">
        <f t="shared" si="0"/>
        <v>1150</v>
      </c>
      <c r="K21" s="14">
        <f t="shared" si="1"/>
        <v>14950</v>
      </c>
      <c r="L21" s="4"/>
      <c r="M21" s="1"/>
    </row>
    <row r="22" spans="1:13" x14ac:dyDescent="0.3">
      <c r="A22" s="6">
        <v>17</v>
      </c>
      <c r="B22" s="7" t="s">
        <v>51</v>
      </c>
      <c r="C22" s="8" t="s">
        <v>54</v>
      </c>
      <c r="D22" s="9" t="s">
        <v>23</v>
      </c>
      <c r="E22" s="9">
        <v>17</v>
      </c>
      <c r="F22" s="5">
        <v>1790</v>
      </c>
      <c r="G22" s="11" t="s">
        <v>19</v>
      </c>
      <c r="H22" s="11">
        <v>2150</v>
      </c>
      <c r="I22" s="19" t="s">
        <v>27</v>
      </c>
      <c r="J22" s="13">
        <f t="shared" si="0"/>
        <v>1790</v>
      </c>
      <c r="K22" s="14">
        <f t="shared" si="1"/>
        <v>30430</v>
      </c>
      <c r="L22" s="4"/>
      <c r="M22" s="1"/>
    </row>
    <row r="23" spans="1:13" x14ac:dyDescent="0.3">
      <c r="A23" s="6">
        <v>18</v>
      </c>
      <c r="B23" s="7" t="s">
        <v>55</v>
      </c>
      <c r="C23" s="8" t="s">
        <v>56</v>
      </c>
      <c r="D23" s="9" t="s">
        <v>23</v>
      </c>
      <c r="E23" s="9">
        <v>27</v>
      </c>
      <c r="F23" s="20">
        <v>430</v>
      </c>
      <c r="G23" s="3">
        <v>410</v>
      </c>
      <c r="H23" s="11">
        <v>520</v>
      </c>
      <c r="I23" s="76" t="s">
        <v>24</v>
      </c>
      <c r="J23" s="13">
        <f t="shared" si="0"/>
        <v>410</v>
      </c>
      <c r="K23" s="14">
        <f t="shared" si="1"/>
        <v>11070</v>
      </c>
      <c r="L23" s="4"/>
      <c r="M23" s="1"/>
    </row>
    <row r="24" spans="1:13" x14ac:dyDescent="0.3">
      <c r="A24" s="6">
        <v>19</v>
      </c>
      <c r="B24" s="7" t="s">
        <v>57</v>
      </c>
      <c r="C24" s="8" t="s">
        <v>58</v>
      </c>
      <c r="D24" s="9" t="s">
        <v>23</v>
      </c>
      <c r="E24" s="9">
        <v>32</v>
      </c>
      <c r="F24" s="20">
        <v>648</v>
      </c>
      <c r="G24" s="3">
        <v>470</v>
      </c>
      <c r="H24" s="11">
        <v>900</v>
      </c>
      <c r="I24" s="77"/>
      <c r="J24" s="13">
        <f t="shared" si="0"/>
        <v>470</v>
      </c>
      <c r="K24" s="14">
        <f t="shared" si="1"/>
        <v>15040</v>
      </c>
      <c r="L24" s="4"/>
      <c r="M24" s="1"/>
    </row>
    <row r="25" spans="1:13" x14ac:dyDescent="0.3">
      <c r="A25" s="6">
        <v>20</v>
      </c>
      <c r="B25" s="7" t="s">
        <v>59</v>
      </c>
      <c r="C25" s="8" t="s">
        <v>60</v>
      </c>
      <c r="D25" s="9" t="s">
        <v>23</v>
      </c>
      <c r="E25" s="9">
        <v>80</v>
      </c>
      <c r="F25" s="17">
        <v>640</v>
      </c>
      <c r="G25" s="3">
        <v>480</v>
      </c>
      <c r="H25" s="11">
        <v>900</v>
      </c>
      <c r="I25" s="78"/>
      <c r="J25" s="13">
        <f t="shared" si="0"/>
        <v>480</v>
      </c>
      <c r="K25" s="14">
        <f t="shared" si="1"/>
        <v>38400</v>
      </c>
      <c r="L25" s="4"/>
      <c r="M25" s="1"/>
    </row>
    <row r="26" spans="1:13" x14ac:dyDescent="0.3">
      <c r="A26" s="6">
        <v>21</v>
      </c>
      <c r="B26" s="7" t="s">
        <v>61</v>
      </c>
      <c r="C26" s="8" t="s">
        <v>62</v>
      </c>
      <c r="D26" s="9" t="s">
        <v>63</v>
      </c>
      <c r="E26" s="9">
        <v>17</v>
      </c>
      <c r="F26" s="20" t="s">
        <v>19</v>
      </c>
      <c r="G26" s="11" t="s">
        <v>19</v>
      </c>
      <c r="H26" s="11" t="s">
        <v>19</v>
      </c>
      <c r="I26" s="12" t="s">
        <v>19</v>
      </c>
      <c r="J26" s="13">
        <f t="shared" si="0"/>
        <v>0</v>
      </c>
      <c r="K26" s="14">
        <f t="shared" si="1"/>
        <v>0</v>
      </c>
      <c r="L26" s="4"/>
      <c r="M26" s="1"/>
    </row>
    <row r="27" spans="1:13" x14ac:dyDescent="0.3">
      <c r="A27" s="6">
        <v>22</v>
      </c>
      <c r="B27" s="7" t="s">
        <v>64</v>
      </c>
      <c r="C27" s="8" t="s">
        <v>44</v>
      </c>
      <c r="D27" s="9" t="s">
        <v>23</v>
      </c>
      <c r="E27" s="9">
        <v>27</v>
      </c>
      <c r="F27" s="16">
        <v>630</v>
      </c>
      <c r="G27" s="11" t="s">
        <v>19</v>
      </c>
      <c r="H27" s="11" t="s">
        <v>19</v>
      </c>
      <c r="I27" s="19" t="s">
        <v>27</v>
      </c>
      <c r="J27" s="13">
        <f t="shared" si="0"/>
        <v>630</v>
      </c>
      <c r="K27" s="14">
        <f t="shared" si="1"/>
        <v>17010</v>
      </c>
      <c r="L27" s="4"/>
      <c r="M27" s="1"/>
    </row>
    <row r="28" spans="1:13" ht="27.6" x14ac:dyDescent="0.3">
      <c r="A28" s="6">
        <v>23</v>
      </c>
      <c r="B28" s="7" t="s">
        <v>65</v>
      </c>
      <c r="C28" s="8" t="s">
        <v>66</v>
      </c>
      <c r="D28" s="9" t="s">
        <v>23</v>
      </c>
      <c r="E28" s="9">
        <v>121</v>
      </c>
      <c r="F28" s="17">
        <v>690</v>
      </c>
      <c r="G28" s="3">
        <v>540</v>
      </c>
      <c r="H28" s="11" t="s">
        <v>19</v>
      </c>
      <c r="I28" s="19" t="s">
        <v>24</v>
      </c>
      <c r="J28" s="13">
        <f t="shared" si="0"/>
        <v>540</v>
      </c>
      <c r="K28" s="14">
        <f t="shared" si="1"/>
        <v>65340</v>
      </c>
      <c r="L28" s="4"/>
      <c r="M28" s="1"/>
    </row>
    <row r="29" spans="1:13" x14ac:dyDescent="0.3">
      <c r="A29" s="93" t="s">
        <v>67</v>
      </c>
      <c r="B29" s="94"/>
      <c r="C29" s="94"/>
      <c r="D29" s="94"/>
      <c r="E29" s="94"/>
      <c r="F29" s="94"/>
      <c r="G29" s="88"/>
      <c r="H29" s="88"/>
      <c r="I29" s="88"/>
      <c r="J29" s="89"/>
      <c r="K29" s="21">
        <f>SUM(K6:K28)</f>
        <v>420789</v>
      </c>
      <c r="L29" s="84">
        <v>353618.86</v>
      </c>
      <c r="M29" s="81">
        <f>(K31-L29)*100/L29</f>
        <v>40.414179266343439</v>
      </c>
    </row>
    <row r="30" spans="1:13" x14ac:dyDescent="0.3">
      <c r="A30" s="87" t="s">
        <v>68</v>
      </c>
      <c r="B30" s="88"/>
      <c r="C30" s="88"/>
      <c r="D30" s="88"/>
      <c r="E30" s="88"/>
      <c r="F30" s="88"/>
      <c r="G30" s="88"/>
      <c r="H30" s="88"/>
      <c r="I30" s="88"/>
      <c r="J30" s="89"/>
      <c r="K30" s="21">
        <f>K29*18/100</f>
        <v>75742.02</v>
      </c>
      <c r="L30" s="85"/>
      <c r="M30" s="82"/>
    </row>
    <row r="31" spans="1:13" x14ac:dyDescent="0.3">
      <c r="A31" s="90" t="s">
        <v>69</v>
      </c>
      <c r="B31" s="90"/>
      <c r="C31" s="90"/>
      <c r="D31" s="90"/>
      <c r="E31" s="90"/>
      <c r="F31" s="90"/>
      <c r="G31" s="90"/>
      <c r="H31" s="90"/>
      <c r="I31" s="90"/>
      <c r="J31" s="90"/>
      <c r="K31" s="22">
        <f>SUM(K29:K30)</f>
        <v>496531.02</v>
      </c>
      <c r="L31" s="86"/>
      <c r="M31" s="83"/>
    </row>
    <row r="32" spans="1:13" ht="15.6" x14ac:dyDescent="0.3">
      <c r="A32" s="23"/>
      <c r="B32" s="23"/>
      <c r="C32" s="23"/>
      <c r="D32" s="91" t="s">
        <v>70</v>
      </c>
      <c r="E32" s="91"/>
      <c r="F32" s="91"/>
      <c r="G32" s="91"/>
      <c r="H32" s="91"/>
      <c r="I32" s="91"/>
      <c r="J32" s="24"/>
      <c r="K32" s="25"/>
      <c r="L32" s="26"/>
      <c r="M32" s="27"/>
    </row>
    <row r="33" spans="1:13" ht="15.6" x14ac:dyDescent="0.3">
      <c r="A33" s="28"/>
      <c r="B33" s="28"/>
      <c r="C33" s="28"/>
      <c r="D33" s="79" t="s">
        <v>13</v>
      </c>
      <c r="E33" s="79"/>
      <c r="F33" s="29" t="s">
        <v>71</v>
      </c>
      <c r="G33" s="29" t="s">
        <v>72</v>
      </c>
      <c r="H33" s="29" t="s">
        <v>73</v>
      </c>
      <c r="I33" s="30" t="s">
        <v>74</v>
      </c>
      <c r="J33" s="31"/>
      <c r="K33" s="32"/>
      <c r="L33" s="33"/>
      <c r="M33" s="34"/>
    </row>
    <row r="34" spans="1:13" ht="15.6" x14ac:dyDescent="0.3">
      <c r="A34" s="35"/>
      <c r="B34" s="35"/>
      <c r="C34" s="36"/>
      <c r="D34" s="92" t="s">
        <v>24</v>
      </c>
      <c r="E34" s="92"/>
      <c r="F34" s="37">
        <v>10</v>
      </c>
      <c r="G34" s="38">
        <v>209655</v>
      </c>
      <c r="H34" s="38">
        <f>G34*18/100</f>
        <v>37737.9</v>
      </c>
      <c r="I34" s="39">
        <f>G34+H34</f>
        <v>247392.9</v>
      </c>
      <c r="J34" s="40"/>
      <c r="K34" s="33"/>
      <c r="L34" s="33"/>
      <c r="M34" s="34"/>
    </row>
    <row r="35" spans="1:13" ht="15.6" x14ac:dyDescent="0.3">
      <c r="A35" s="35"/>
      <c r="B35" s="35"/>
      <c r="C35" s="36"/>
      <c r="D35" s="92" t="s">
        <v>27</v>
      </c>
      <c r="E35" s="92"/>
      <c r="F35" s="37">
        <v>11</v>
      </c>
      <c r="G35" s="38">
        <v>211134</v>
      </c>
      <c r="H35" s="38">
        <f t="shared" ref="H35" si="2">G35*18/100</f>
        <v>38004.120000000003</v>
      </c>
      <c r="I35" s="39">
        <f t="shared" ref="I35" si="3">G35+H35</f>
        <v>249138.12</v>
      </c>
      <c r="J35" s="40"/>
      <c r="K35" s="33"/>
      <c r="L35" s="33"/>
      <c r="M35" s="34"/>
    </row>
    <row r="36" spans="1:13" ht="15.6" x14ac:dyDescent="0.3">
      <c r="A36" s="35"/>
      <c r="B36" s="35"/>
      <c r="C36" s="36"/>
      <c r="D36" s="79" t="s">
        <v>75</v>
      </c>
      <c r="E36" s="79"/>
      <c r="F36" s="41">
        <f>F34+F35</f>
        <v>21</v>
      </c>
      <c r="G36" s="42">
        <f t="shared" ref="G36:I36" si="4">G34+G35</f>
        <v>420789</v>
      </c>
      <c r="H36" s="42">
        <f t="shared" si="4"/>
        <v>75742.02</v>
      </c>
      <c r="I36" s="42">
        <f t="shared" si="4"/>
        <v>496531.02</v>
      </c>
      <c r="J36" s="43"/>
      <c r="K36" s="44"/>
      <c r="L36" s="44"/>
      <c r="M36" s="34"/>
    </row>
    <row r="37" spans="1:13" ht="15.6" x14ac:dyDescent="0.3">
      <c r="A37" s="35"/>
      <c r="B37" s="35"/>
      <c r="C37" s="36"/>
      <c r="D37" s="45"/>
      <c r="E37" s="45"/>
      <c r="F37" s="46"/>
      <c r="G37" s="47"/>
      <c r="H37" s="47"/>
      <c r="I37" s="47"/>
      <c r="J37" s="43"/>
      <c r="K37" s="44"/>
      <c r="L37" s="44"/>
      <c r="M37" s="34"/>
    </row>
    <row r="38" spans="1:13" ht="15.6" x14ac:dyDescent="0.3">
      <c r="A38" s="35"/>
      <c r="B38" s="35"/>
      <c r="C38" s="36"/>
      <c r="D38" s="45"/>
      <c r="E38" s="45"/>
      <c r="F38" s="46"/>
      <c r="G38" s="47"/>
      <c r="H38" s="47"/>
      <c r="I38" s="47"/>
      <c r="J38" s="43"/>
      <c r="K38" s="44"/>
      <c r="L38" s="44"/>
      <c r="M38" s="34"/>
    </row>
    <row r="39" spans="1:13" ht="15.6" x14ac:dyDescent="0.3">
      <c r="A39" s="35"/>
      <c r="B39" s="35"/>
      <c r="C39" s="36"/>
      <c r="D39" s="35"/>
      <c r="E39" s="35"/>
      <c r="F39" s="40"/>
      <c r="G39" s="40"/>
      <c r="H39" s="33"/>
      <c r="I39" s="48"/>
      <c r="J39" s="43"/>
      <c r="K39" s="44"/>
      <c r="L39" s="44"/>
      <c r="M39" s="34"/>
    </row>
    <row r="40" spans="1:13" ht="15.6" x14ac:dyDescent="0.3">
      <c r="A40" s="45"/>
      <c r="B40" s="45"/>
      <c r="C40" s="49"/>
      <c r="D40" s="45"/>
      <c r="E40" s="35"/>
      <c r="F40" s="40"/>
      <c r="G40" s="40"/>
      <c r="H40" s="33"/>
      <c r="I40" s="50"/>
      <c r="J40" s="51"/>
      <c r="K40" s="52"/>
      <c r="L40" s="52"/>
      <c r="M40" s="33"/>
    </row>
    <row r="41" spans="1:13" ht="15.6" x14ac:dyDescent="0.3">
      <c r="A41" s="35"/>
      <c r="B41" s="35"/>
      <c r="C41" s="36"/>
      <c r="D41" s="35"/>
      <c r="E41" s="35"/>
      <c r="F41" s="40"/>
      <c r="G41" s="40"/>
      <c r="H41" s="33"/>
      <c r="I41" s="50"/>
      <c r="J41" s="53"/>
      <c r="K41" s="32"/>
      <c r="L41" s="54"/>
      <c r="M41" s="34"/>
    </row>
    <row r="42" spans="1:13" ht="15.6" x14ac:dyDescent="0.3">
      <c r="A42" s="35"/>
      <c r="B42" s="35"/>
      <c r="C42" s="36"/>
      <c r="D42" s="35"/>
      <c r="E42" s="35"/>
      <c r="F42" s="40"/>
      <c r="G42" s="55"/>
      <c r="H42" s="56"/>
      <c r="I42" s="50"/>
      <c r="J42" s="57"/>
      <c r="K42" s="32"/>
      <c r="L42" s="58"/>
      <c r="M42" s="32"/>
    </row>
    <row r="43" spans="1:13" ht="15.6" x14ac:dyDescent="0.3">
      <c r="A43" s="35"/>
      <c r="B43" s="35"/>
      <c r="C43" s="36"/>
      <c r="D43" s="35"/>
      <c r="E43" s="35"/>
      <c r="F43" s="40"/>
      <c r="G43" s="55"/>
      <c r="H43" s="56"/>
      <c r="I43" s="50"/>
      <c r="J43" s="57"/>
      <c r="K43" s="32"/>
      <c r="L43" s="58"/>
      <c r="M43" s="32"/>
    </row>
    <row r="44" spans="1:13" ht="15.6" x14ac:dyDescent="0.3">
      <c r="A44" s="80" t="s">
        <v>76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</row>
    <row r="45" spans="1:13" ht="15.6" x14ac:dyDescent="0.3">
      <c r="A45" s="35"/>
      <c r="B45" s="35"/>
      <c r="C45" s="36"/>
      <c r="D45" s="35"/>
      <c r="E45" s="35"/>
      <c r="F45" s="40"/>
      <c r="G45" s="40"/>
      <c r="H45" s="33"/>
      <c r="I45" s="59"/>
      <c r="J45" s="31"/>
      <c r="K45" s="32"/>
      <c r="L45" s="32"/>
      <c r="M45" s="34"/>
    </row>
    <row r="46" spans="1:13" ht="15.6" x14ac:dyDescent="0.3">
      <c r="A46" s="35"/>
      <c r="B46" s="35"/>
      <c r="C46" s="36"/>
      <c r="D46" s="35"/>
      <c r="E46" s="35"/>
      <c r="F46" s="40"/>
      <c r="G46" s="40"/>
      <c r="H46" s="33"/>
      <c r="I46" s="59"/>
      <c r="J46" s="31"/>
      <c r="K46" s="32"/>
      <c r="L46" s="32"/>
      <c r="M46" s="34"/>
    </row>
    <row r="47" spans="1:13" ht="15.6" x14ac:dyDescent="0.3">
      <c r="A47" s="35"/>
      <c r="B47" s="35"/>
      <c r="C47" s="36"/>
      <c r="D47" s="35"/>
      <c r="E47" s="35"/>
      <c r="F47" s="40"/>
      <c r="G47" s="40"/>
      <c r="H47" s="33"/>
      <c r="I47" s="50"/>
      <c r="J47" s="40"/>
      <c r="K47" s="33"/>
      <c r="L47" s="33"/>
      <c r="M47" s="34"/>
    </row>
    <row r="48" spans="1:13" x14ac:dyDescent="0.3">
      <c r="A48" s="60"/>
      <c r="B48" s="60"/>
      <c r="C48" s="32"/>
      <c r="D48" s="60"/>
      <c r="E48" s="32"/>
      <c r="F48" s="31"/>
      <c r="G48" s="31"/>
      <c r="H48" s="32"/>
      <c r="I48" s="59"/>
      <c r="J48" s="31"/>
      <c r="K48" s="32"/>
      <c r="L48" s="32"/>
      <c r="M48" s="32"/>
    </row>
    <row r="49" spans="1:13" x14ac:dyDescent="0.3">
      <c r="A49" s="60"/>
      <c r="B49" s="60"/>
      <c r="C49" s="32"/>
      <c r="D49" s="60"/>
      <c r="E49" s="32"/>
      <c r="F49" s="31"/>
      <c r="G49" s="31"/>
      <c r="H49" s="32"/>
      <c r="I49" s="59"/>
      <c r="J49" s="31"/>
      <c r="K49" s="32"/>
      <c r="L49" s="32"/>
      <c r="M49" s="32"/>
    </row>
    <row r="50" spans="1:13" x14ac:dyDescent="0.3">
      <c r="A50" s="60"/>
      <c r="B50" s="60"/>
      <c r="C50" s="32"/>
      <c r="D50" s="60"/>
      <c r="E50" s="32"/>
      <c r="F50" s="31"/>
      <c r="G50" s="31"/>
      <c r="H50" s="32"/>
      <c r="I50" s="59"/>
      <c r="J50" s="31"/>
      <c r="K50" s="32"/>
      <c r="L50" s="32"/>
      <c r="M50" s="32"/>
    </row>
    <row r="51" spans="1:13" x14ac:dyDescent="0.3">
      <c r="A51" s="60"/>
      <c r="B51" s="60"/>
      <c r="C51" s="32"/>
      <c r="D51" s="60"/>
      <c r="E51" s="32"/>
      <c r="F51" s="31"/>
      <c r="G51" s="31"/>
      <c r="H51" s="32"/>
      <c r="I51" s="59"/>
      <c r="J51" s="31"/>
      <c r="K51" s="32"/>
      <c r="L51" s="32"/>
      <c r="M51" s="32"/>
    </row>
  </sheetData>
  <mergeCells count="33">
    <mergeCell ref="I23:I25"/>
    <mergeCell ref="D36:E36"/>
    <mergeCell ref="A44:M44"/>
    <mergeCell ref="M29:M31"/>
    <mergeCell ref="L29:L31"/>
    <mergeCell ref="A30:J30"/>
    <mergeCell ref="A31:J31"/>
    <mergeCell ref="D32:I32"/>
    <mergeCell ref="D33:E33"/>
    <mergeCell ref="D34:E34"/>
    <mergeCell ref="D35:E35"/>
    <mergeCell ref="A29:J29"/>
    <mergeCell ref="K4:K5"/>
    <mergeCell ref="I8:I10"/>
    <mergeCell ref="I11:I12"/>
    <mergeCell ref="I13:I18"/>
    <mergeCell ref="I19:I21"/>
    <mergeCell ref="A1:M1"/>
    <mergeCell ref="A2:M2"/>
    <mergeCell ref="A3:A5"/>
    <mergeCell ref="B3:B5"/>
    <mergeCell ref="C3:C5"/>
    <mergeCell ref="D3:D5"/>
    <mergeCell ref="E3:E5"/>
    <mergeCell ref="F3:H3"/>
    <mergeCell ref="I3:J3"/>
    <mergeCell ref="L3:L5"/>
    <mergeCell ref="M3:M5"/>
    <mergeCell ref="F4:F5"/>
    <mergeCell ref="G4:G5"/>
    <mergeCell ref="H4:H5"/>
    <mergeCell ref="I4:I5"/>
    <mergeCell ref="J4:J5"/>
  </mergeCells>
  <pageMargins left="0.7" right="0.7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2026-08-12T03:22:34Z</dcterms:modified>
</cp:coreProperties>
</file>